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3 - coloca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11 | Colocalisation overlap statistics.</t>
        </is>
      </c>
    </row>
    <row r="3">
      <c r="A3" t="inlineStr">
        <is>
          <t>--- Subtable 1: Overlap and colocalisation counts ---</t>
        </is>
      </c>
    </row>
    <row r="4">
      <c r="A4" t="inlineStr">
        <is>
          <t>Overlap</t>
        </is>
      </c>
      <c r="B4" t="inlineStr">
        <is>
          <t>Type of credible set comparison (GWAS vs GWAS; GWAS vs pQTL/eQTL/sQTL/tuQTL/sc-eQTL).</t>
        </is>
      </c>
    </row>
    <row r="5">
      <c r="A5" t="inlineStr">
        <is>
          <t>eCAVIAR</t>
        </is>
      </c>
      <c r="B5" t="inlineStr">
        <is>
          <t>Total number of overlapping credible set pairs tested by eCAVIAR.</t>
        </is>
      </c>
    </row>
    <row r="6">
      <c r="A6" t="inlineStr">
        <is>
          <t>CLPP &gt; 1%</t>
        </is>
      </c>
      <c r="B6" t="inlineStr">
        <is>
          <t>Number of pairs with eCAVIAR colocalisation posterior probability (CLPP) &gt; 0.01, indicating significant colocalisation.</t>
        </is>
      </c>
    </row>
    <row r="7">
      <c r="A7" t="inlineStr">
        <is>
          <t>COLOC</t>
        </is>
      </c>
      <c r="B7" t="inlineStr">
        <is>
          <t>Total number of overlapping credible set pairs tested by COLOC.</t>
        </is>
      </c>
    </row>
    <row r="8">
      <c r="A8" t="inlineStr">
        <is>
          <t>H4 &gt; 0.8</t>
        </is>
      </c>
      <c r="B8" t="inlineStr">
        <is>
          <t>Number of pairs with COLOC posterior probability of shared causal variant (H4) &gt; 0.8, indicating significant colocalisation.</t>
        </is>
      </c>
    </row>
    <row r="9">
      <c r="A9" t="inlineStr">
        <is>
          <t>--- Subtable 2: Significant colocalisations with qualified credible sets ---</t>
        </is>
      </c>
    </row>
    <row r="10">
      <c r="A10" t="inlineStr">
        <is>
          <t>(row label)</t>
        </is>
      </c>
      <c r="B10" t="inlineStr">
        <is>
          <t>Unit of measurement: Credible Sets (number of qualified CSs) or Genes (number of unique genes).</t>
        </is>
      </c>
    </row>
    <row r="11">
      <c r="A11" t="inlineStr">
        <is>
          <t>eQTL</t>
        </is>
      </c>
      <c r="B11" t="inlineStr">
        <is>
          <t>Count of significant colocalisations with eQTL credible sets.</t>
        </is>
      </c>
    </row>
    <row r="12">
      <c r="A12" t="inlineStr">
        <is>
          <t>pQTL</t>
        </is>
      </c>
      <c r="B12" t="inlineStr">
        <is>
          <t>Count of significant colocalisations with cis-pQTL credible sets.</t>
        </is>
      </c>
    </row>
    <row r="13">
      <c r="A13" t="inlineStr">
        <is>
          <t>sQTL</t>
        </is>
      </c>
      <c r="B13" t="inlineStr">
        <is>
          <t>Count of significant colocalisations with sQTL credible sets.</t>
        </is>
      </c>
    </row>
    <row r="14">
      <c r="A14" t="inlineStr">
        <is>
          <t>All</t>
        </is>
      </c>
      <c r="B14" t="inlineStr">
        <is>
          <t>Total count of significant colocalisations across all molQTL types.</t>
        </is>
      </c>
    </row>
    <row r="17">
      <c r="A17" t="inlineStr">
        <is>
          <t>Overlap</t>
        </is>
      </c>
      <c r="B17" t="inlineStr">
        <is>
          <t>eCAVIAR</t>
        </is>
      </c>
      <c r="C17" t="inlineStr">
        <is>
          <t>CLPP &gt; 1%</t>
        </is>
      </c>
      <c r="D17" t="inlineStr">
        <is>
          <t>COLOC</t>
        </is>
      </c>
      <c r="E17" t="inlineStr">
        <is>
          <t>H4 &gt; 0.8</t>
        </is>
      </c>
    </row>
    <row r="18">
      <c r="A18" t="inlineStr">
        <is>
          <t>GWAS</t>
        </is>
      </c>
      <c r="B18" t="n">
        <v>41751740</v>
      </c>
      <c r="C18" t="n">
        <v>33087583</v>
      </c>
      <c r="D18" t="n">
        <v>19378948</v>
      </c>
      <c r="E18" t="n">
        <v>17527430</v>
      </c>
    </row>
    <row r="19">
      <c r="A19" t="inlineStr">
        <is>
          <t>pQTL</t>
        </is>
      </c>
      <c r="B19" t="n">
        <v>2158787</v>
      </c>
      <c r="C19" t="n">
        <v>1777217</v>
      </c>
      <c r="D19" t="n">
        <v>1402949</v>
      </c>
      <c r="E19" t="n">
        <v>1286119</v>
      </c>
    </row>
    <row r="20">
      <c r="A20" t="inlineStr">
        <is>
          <t>eQTL</t>
        </is>
      </c>
      <c r="B20" t="n">
        <v>11380938</v>
      </c>
      <c r="C20" t="n">
        <v>4259718</v>
      </c>
      <c r="D20" t="n">
        <v>6756851</v>
      </c>
      <c r="E20" t="n">
        <v>3742702</v>
      </c>
    </row>
    <row r="21">
      <c r="A21" t="inlineStr">
        <is>
          <t>sQTL</t>
        </is>
      </c>
      <c r="B21" t="n">
        <v>1771258</v>
      </c>
      <c r="C21" t="n">
        <v>710271</v>
      </c>
      <c r="D21" t="n">
        <v>1006729</v>
      </c>
      <c r="E21" t="n">
        <v>618563</v>
      </c>
    </row>
    <row r="22">
      <c r="A22" t="inlineStr">
        <is>
          <t>tuQTL</t>
        </is>
      </c>
      <c r="B22" t="n">
        <v>3279095</v>
      </c>
      <c r="C22" t="n">
        <v>1334596</v>
      </c>
      <c r="D22" t="n">
        <v>1871805</v>
      </c>
      <c r="E22" t="n">
        <v>1143406</v>
      </c>
    </row>
    <row r="23">
      <c r="A23" t="inlineStr">
        <is>
          <t>sc-eQTL</t>
        </is>
      </c>
      <c r="B23" t="n">
        <v>1143046</v>
      </c>
      <c r="C23" t="n">
        <v>229542</v>
      </c>
      <c r="D23" t="n">
        <v>750450</v>
      </c>
      <c r="E23" t="n">
        <v>217789</v>
      </c>
      <c r="G23">
        <f>sum(B5:B9)</f>
        <v/>
      </c>
    </row>
    <row r="24">
      <c r="A24" t="inlineStr">
        <is>
          <t>Total</t>
        </is>
      </c>
      <c r="B24">
        <f>SUM(B4:B9)</f>
        <v/>
      </c>
      <c r="C24">
        <f>SUM(C4:C9)</f>
        <v/>
      </c>
      <c r="D24">
        <f>SUM(D4:D9)</f>
        <v/>
      </c>
      <c r="E24">
        <f>SUM(E4:E9)</f>
        <v/>
      </c>
    </row>
    <row r="25">
      <c r="C25">
        <f>C10/B10</f>
        <v/>
      </c>
      <c r="E25">
        <f>E10/D10</f>
        <v/>
      </c>
    </row>
    <row r="27">
      <c r="A27" t="inlineStr">
        <is>
          <t>Number of significant colocalisations with qualified credible sets by category</t>
        </is>
      </c>
    </row>
    <row r="28">
      <c r="B28" t="inlineStr">
        <is>
          <t>eQTL</t>
        </is>
      </c>
      <c r="C28" t="inlineStr">
        <is>
          <t>pQTL</t>
        </is>
      </c>
      <c r="D28" t="inlineStr">
        <is>
          <t>sQTL</t>
        </is>
      </c>
      <c r="E28" t="inlineStr">
        <is>
          <t>All</t>
        </is>
      </c>
    </row>
    <row r="29">
      <c r="A29" t="inlineStr">
        <is>
          <t>Credible Sets</t>
        </is>
      </c>
      <c r="B29" t="n">
        <v>253643</v>
      </c>
      <c r="C29" t="n">
        <v>43038</v>
      </c>
      <c r="D29" t="n">
        <v>167703</v>
      </c>
      <c r="E29" t="n">
        <v>285229</v>
      </c>
    </row>
    <row r="30">
      <c r="A30" t="inlineStr">
        <is>
          <t>Genes</t>
        </is>
      </c>
      <c r="B30" t="n">
        <v>13395</v>
      </c>
      <c r="C30" t="n">
        <v>1522</v>
      </c>
      <c r="D30" t="n">
        <v>9406</v>
      </c>
      <c r="E30" t="n">
        <v>14026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2026-04-09T10:54:25Z</dcterms:created>
  <dcterms:modified xmlns:dcterms="http://purl.org/dc/terms/" xmlns:xsi="http://www.w3.org/2001/XMLSchema-instance" xsi:type="dcterms:W3CDTF">2026-04-09T11:27:11Z</dcterms:modified>
</cp:coreProperties>
</file>